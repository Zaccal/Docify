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showInkAnnotation="0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4C8F849C-AFEA-491E-8073-F419A28EA209}" xr6:coauthVersionLast="47" xr6:coauthVersionMax="47" xr10:uidLastSave="{00000000-0000-0000-0000-000000000000}"/>
  <bookViews>
    <workbookView xWindow="1170" yWindow="1170" windowWidth="14400" windowHeight="8145" tabRatio="0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1" i="1" l="1"/>
  <c r="AR32" i="1"/>
  <c r="AR77" i="1"/>
  <c r="AR78" i="1"/>
</calcChain>
</file>

<file path=xl/sharedStrings.xml><?xml version="1.0" encoding="utf-8"?>
<sst xmlns="http://schemas.openxmlformats.org/spreadsheetml/2006/main" count="118" uniqueCount="61">
  <si>
    <t>Приложение</t>
  </si>
  <si>
    <t>к приказу Министра финансов</t>
  </si>
  <si>
    <t>Республики Казахстан</t>
  </si>
  <si>
    <t>от</t>
  </si>
  <si>
    <t>27 октября года 2014 года № 458</t>
  </si>
  <si>
    <t>Приложение 50</t>
  </si>
  <si>
    <t>от 20 декабря 2012 года № 562</t>
  </si>
  <si>
    <t>Форма Р-1</t>
  </si>
  <si>
    <t>ИИН/БИН</t>
  </si>
  <si>
    <t>Заказчик</t>
  </si>
  <si>
    <t>Филиал  Акционерного общества "Национальная компания "Казахстан Темір Жолы" -"Дирекция магистральной сети",010000,Республика Казахстан, город Нур- Султан, пр.Кунаева д.6</t>
  </si>
  <si>
    <t>041141006285</t>
  </si>
  <si>
    <t>Исполнитель</t>
  </si>
  <si>
    <t>Индивидуальный предприниматель  "XANSHA" Рыспаева Гаухар Сериковна, пос. Атасу, Жанааркинский район, ул.Транспортный квартал д 1, кв 11</t>
  </si>
  <si>
    <t>полное наименование, адрес, данные о средствах связи</t>
  </si>
  <si>
    <t>Договор (контракт)</t>
  </si>
  <si>
    <t>№231 от 30.05.2021г</t>
  </si>
  <si>
    <t>Номер документа</t>
  </si>
  <si>
    <t>Дата составления</t>
  </si>
  <si>
    <t>АКТ ВЫПОЛНЕННЫХ РАБОТ (ОКАЗАННЫХ УСЛУГ)</t>
  </si>
  <si>
    <t>231</t>
  </si>
  <si>
    <t>05.06.2021г</t>
  </si>
  <si>
    <t>Номер по порядку</t>
  </si>
  <si>
    <t>Наименование работ (услуг) (в разрезе их подвидов в соответствии с технической спецификацией, заданием, графиком выполнения работ (услуг) при их наличии)</t>
  </si>
  <si>
    <t>Дата выполнения работ (оказания услуг)</t>
  </si>
  <si>
    <t>Сведения об отчете о научных исследованиях, маркетинговых, консультационных и прочих услугах (дата, номер, количество страниц) (при их наличии)</t>
  </si>
  <si>
    <t>Единица измерения</t>
  </si>
  <si>
    <t>Выполнено работ (оказано услуг)</t>
  </si>
  <si>
    <t>количество</t>
  </si>
  <si>
    <t>цена за единицу</t>
  </si>
  <si>
    <t>стоимость</t>
  </si>
  <si>
    <t>Проживание:  Макулбеков С.</t>
  </si>
  <si>
    <t>с 30.05.2021г по 05.06.2021г</t>
  </si>
  <si>
    <t>сут</t>
  </si>
  <si>
    <t>Итого</t>
  </si>
  <si>
    <t>Сведения об использовании запасов, полученных от заказчика</t>
  </si>
  <si>
    <t>Девяносто  тысяча тенге 00 тиын</t>
  </si>
  <si>
    <t>наименование, количество, стоимость</t>
  </si>
  <si>
    <t>Приложение: Перечень документации, в том числе отчет(ы) о маркетинговых, научных исследованиях, консультационных и прочих услугах (обязательны при его</t>
  </si>
  <si>
    <t>(их) наличии) на _____________ страниц</t>
  </si>
  <si>
    <t>Сдал (Исполнитель)</t>
  </si>
  <si>
    <t>/</t>
  </si>
  <si>
    <t>Принял (Заказчик)</t>
  </si>
  <si>
    <t>должность</t>
  </si>
  <si>
    <t>подпись</t>
  </si>
  <si>
    <t>расшифровка подписи</t>
  </si>
  <si>
    <t>М.П.</t>
  </si>
  <si>
    <t>Дата подписания (принятия) работ (услуг)</t>
  </si>
  <si>
    <t>ТОО «Tranco Express» индекс: 100601, РК, область Ұлытау, город сатпаев, Массив Промзона, строениие 169</t>
  </si>
  <si>
    <t>111040010844</t>
  </si>
  <si>
    <t>Индивидуальный предприниматель «NomadDocs»  Жалтырбаев Әділет Ғалымұлы                                                                               Карагандинская область, г. Караганда,район имени Казыбек Би, улица Гапеева, дом 15/1, блок Б, квартира №101</t>
  </si>
  <si>
    <r>
      <t xml:space="preserve">№0081 </t>
    </r>
    <r>
      <rPr>
        <b/>
        <sz val="8"/>
        <color indexed="8"/>
        <rFont val="Arial"/>
        <family val="2"/>
        <charset val="204"/>
      </rPr>
      <t xml:space="preserve"> от  24.06.2026г</t>
    </r>
  </si>
  <si>
    <t>0081</t>
  </si>
  <si>
    <t>26.06.2026г</t>
  </si>
  <si>
    <t>Проживание в квартире :ИП «NomadDocs»                  Темирбеков К.М.   ИИН: 660407350085</t>
  </si>
  <si>
    <t>с 24.06.2026г - 26.06.2026г</t>
  </si>
  <si>
    <t>х</t>
  </si>
  <si>
    <t>Сорок тысяч  тенге 00 тиын</t>
  </si>
  <si>
    <t>ИП</t>
  </si>
  <si>
    <t>«NomadDocs»</t>
  </si>
  <si>
    <t>Жалтырбаев Ә.Ғ.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</si>
</sst>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00000000000"/>
  </numFmts>
  <fonts count="11" x14ac:knownFonts="1">
    <font>
      <sz val="8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  <font>
      <i/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2" fillId="0" borderId="0" xfId="0" applyNumberFormat="1" applyFont="1" applyAlignment="1">
      <alignment horizontal="center" vertical="top" wrapText="1"/>
    </xf>
    <xf numFmtId="0" fontId="7" fillId="0" borderId="0" xfId="0" applyNumberFormat="1" applyFont="1" applyAlignment="1">
      <alignment horizontal="left" wrapText="1"/>
    </xf>
    <xf numFmtId="0" fontId="6" fillId="0" borderId="0" xfId="0" applyNumberFormat="1" applyFont="1" applyAlignment="1">
      <alignment horizontal="left" wrapText="1"/>
    </xf>
    <xf numFmtId="0" fontId="6" fillId="0" borderId="0" xfId="0" applyNumberFormat="1" applyFont="1" applyAlignment="1">
      <alignment horizontal="center" wrapText="1"/>
    </xf>
    <xf numFmtId="0" fontId="6" fillId="0" borderId="0" xfId="0" applyNumberFormat="1" applyFont="1" applyAlignment="1">
      <alignment horizontal="right"/>
    </xf>
    <xf numFmtId="0" fontId="6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 wrapText="1"/>
    </xf>
    <xf numFmtId="0" fontId="0" fillId="0" borderId="0" xfId="0" applyNumberFormat="1" applyAlignment="1">
      <alignment horizontal="right"/>
    </xf>
    <xf numFmtId="0" fontId="5" fillId="0" borderId="0" xfId="0" applyFont="1"/>
    <xf numFmtId="0" fontId="4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left" vertical="top" wrapText="1"/>
    </xf>
    <xf numFmtId="0" fontId="5" fillId="0" borderId="0" xfId="0" applyNumberFormat="1" applyFont="1" applyAlignment="1">
      <alignment horizontal="left" vertical="top" wrapText="1"/>
    </xf>
    <xf numFmtId="0" fontId="5" fillId="0" borderId="1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/>
    </xf>
    <xf numFmtId="168" fontId="10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49" fontId="5" fillId="0" borderId="2" xfId="0" applyNumberFormat="1" applyFont="1" applyBorder="1" applyAlignment="1">
      <alignment horizontal="center" wrapText="1"/>
    </xf>
    <xf numFmtId="14" fontId="5" fillId="0" borderId="2" xfId="0" applyNumberFormat="1" applyFont="1" applyBorder="1" applyAlignment="1">
      <alignment horizontal="center" wrapText="1"/>
    </xf>
    <xf numFmtId="0" fontId="5" fillId="0" borderId="2" xfId="0" applyNumberFormat="1" applyFont="1" applyBorder="1" applyAlignment="1">
      <alignment horizontal="center" wrapText="1"/>
    </xf>
    <xf numFmtId="0" fontId="6" fillId="0" borderId="2" xfId="0" applyNumberFormat="1" applyFont="1" applyBorder="1" applyAlignment="1">
      <alignment horizontal="center" vertical="center" wrapText="1"/>
    </xf>
    <xf numFmtId="0" fontId="6" fillId="0" borderId="7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wrapText="1"/>
    </xf>
    <xf numFmtId="1" fontId="6" fillId="0" borderId="7" xfId="0" applyNumberFormat="1" applyFont="1" applyBorder="1" applyAlignment="1">
      <alignment horizontal="center" wrapText="1"/>
    </xf>
    <xf numFmtId="1" fontId="6" fillId="0" borderId="3" xfId="0" applyNumberFormat="1" applyFont="1" applyBorder="1" applyAlignment="1">
      <alignment horizontal="left" wrapText="1"/>
    </xf>
    <xf numFmtId="1" fontId="6" fillId="0" borderId="4" xfId="0" applyNumberFormat="1" applyFont="1" applyBorder="1" applyAlignment="1">
      <alignment horizontal="left" wrapText="1"/>
    </xf>
    <xf numFmtId="1" fontId="6" fillId="0" borderId="6" xfId="0" applyNumberFormat="1" applyFont="1" applyBorder="1" applyAlignment="1">
      <alignment horizontal="left" wrapText="1"/>
    </xf>
    <xf numFmtId="3" fontId="6" fillId="0" borderId="7" xfId="0" applyNumberFormat="1" applyFont="1" applyBorder="1" applyAlignment="1">
      <alignment horizontal="center" wrapText="1"/>
    </xf>
    <xf numFmtId="3" fontId="6" fillId="0" borderId="2" xfId="0" applyNumberFormat="1" applyFont="1" applyBorder="1" applyAlignment="1">
      <alignment horizontal="center" wrapText="1"/>
    </xf>
    <xf numFmtId="3" fontId="6" fillId="0" borderId="2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left" wrapText="1"/>
    </xf>
    <xf numFmtId="0" fontId="7" fillId="0" borderId="5" xfId="0" applyNumberFormat="1" applyFont="1" applyBorder="1" applyAlignment="1">
      <alignment horizontal="center"/>
    </xf>
    <xf numFmtId="14" fontId="6" fillId="0" borderId="1" xfId="0" applyNumberFormat="1" applyFont="1" applyFill="1" applyBorder="1" applyAlignment="1">
      <alignment horizontal="center" wrapText="1"/>
    </xf>
    <xf numFmtId="0" fontId="6" fillId="0" borderId="1" xfId="0" applyNumberFormat="1" applyFont="1" applyFill="1" applyBorder="1" applyAlignment="1">
      <alignment horizontal="center" wrapText="1"/>
    </xf>
    <xf numFmtId="0" fontId="5" fillId="0" borderId="0" xfId="0" applyNumberFormat="1" applyFont="1" applyAlignment="1">
      <alignment horizontal="left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 wrapText="1"/>
    </xf>
    <xf numFmtId="1" fontId="6" fillId="0" borderId="3" xfId="0" applyNumberFormat="1" applyFont="1" applyBorder="1" applyAlignment="1">
      <alignment horizontal="left" vertical="center" wrapText="1"/>
    </xf>
    <xf numFmtId="1" fontId="6" fillId="0" borderId="4" xfId="0" applyNumberFormat="1" applyFont="1" applyBorder="1" applyAlignment="1">
      <alignment horizontal="left" vertical="center" wrapText="1"/>
    </xf>
    <xf numFmtId="1" fontId="6" fillId="0" borderId="6" xfId="0" applyNumberFormat="1" applyFont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3" fontId="6" fillId="0" borderId="7" xfId="0" applyNumberFormat="1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wrapText="1"/>
    </xf>
    <xf numFmtId="0" fontId="6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6:AW93"/>
  <sheetViews>
    <sheetView tabSelected="1" topLeftCell="A58" workbookViewId="0">
      <selection activeCell="Q82" sqref="Q82:AW82"/>
    </sheetView>
  </sheetViews>
  <sheetFormatPr defaultColWidth="10.6640625" defaultRowHeight="11.25" x14ac:dyDescent="0.2"/>
  <cols>
    <col min="1" max="1" width="4.5" style="1" customWidth="1"/>
    <col min="2" max="10" width="3.5" style="1" customWidth="1"/>
    <col min="11" max="11" width="1.6640625" style="1" customWidth="1"/>
    <col min="12" max="14" width="3.5" style="1" customWidth="1"/>
    <col min="15" max="15" width="4" style="1" customWidth="1"/>
    <col min="16" max="16" width="4.83203125" style="1" customWidth="1"/>
    <col min="17" max="17" width="1.6640625" style="1" customWidth="1"/>
    <col min="18" max="19" width="3.5" style="1" customWidth="1"/>
    <col min="20" max="20" width="12.6640625" style="1" customWidth="1"/>
    <col min="21" max="28" width="3.5" style="1" customWidth="1"/>
    <col min="29" max="29" width="4.5" style="1" customWidth="1"/>
    <col min="30" max="34" width="3.5" style="1" customWidth="1"/>
    <col min="35" max="35" width="1.6640625" style="1" customWidth="1"/>
    <col min="36" max="37" width="3.5" style="1" customWidth="1"/>
    <col min="38" max="38" width="1.6640625" style="1" customWidth="1"/>
    <col min="39" max="49" width="3.5" style="1" customWidth="1"/>
  </cols>
  <sheetData>
    <row r="6" spans="40:49" x14ac:dyDescent="0.2">
      <c r="AQ6" s="15" t="s">
        <v>0</v>
      </c>
    </row>
    <row r="7" spans="40:49" x14ac:dyDescent="0.2">
      <c r="AO7" s="15" t="s">
        <v>1</v>
      </c>
    </row>
    <row r="8" spans="40:49" x14ac:dyDescent="0.2">
      <c r="AP8" s="15" t="s">
        <v>2</v>
      </c>
    </row>
    <row r="9" spans="40:49" x14ac:dyDescent="0.2">
      <c r="AN9" s="15" t="s">
        <v>3</v>
      </c>
      <c r="AO9" s="15" t="s">
        <v>4</v>
      </c>
    </row>
    <row r="12" spans="40:49" x14ac:dyDescent="0.2">
      <c r="AN12" s="22" t="s">
        <v>5</v>
      </c>
      <c r="AO12" s="22"/>
      <c r="AP12" s="22"/>
      <c r="AQ12" s="22"/>
      <c r="AR12" s="22"/>
      <c r="AS12" s="22"/>
      <c r="AT12" s="22"/>
      <c r="AU12" s="22"/>
      <c r="AV12" s="22"/>
      <c r="AW12" s="22"/>
    </row>
    <row r="13" spans="40:49" x14ac:dyDescent="0.2">
      <c r="AN13" s="22" t="s">
        <v>1</v>
      </c>
      <c r="AO13" s="22"/>
      <c r="AP13" s="22"/>
      <c r="AQ13" s="22"/>
      <c r="AR13" s="22"/>
      <c r="AS13" s="22"/>
      <c r="AT13" s="22"/>
      <c r="AU13" s="22"/>
      <c r="AV13" s="22"/>
      <c r="AW13" s="22"/>
    </row>
    <row r="14" spans="40:49" x14ac:dyDescent="0.2">
      <c r="AN14" s="22" t="s">
        <v>2</v>
      </c>
      <c r="AO14" s="22"/>
      <c r="AP14" s="22"/>
      <c r="AQ14" s="22"/>
      <c r="AR14" s="22"/>
      <c r="AS14" s="22"/>
      <c r="AT14" s="22"/>
      <c r="AU14" s="22"/>
      <c r="AV14" s="22"/>
      <c r="AW14" s="22"/>
    </row>
    <row r="15" spans="40:49" x14ac:dyDescent="0.2">
      <c r="AN15" s="22" t="s">
        <v>6</v>
      </c>
      <c r="AO15" s="22"/>
      <c r="AP15" s="22"/>
      <c r="AQ15" s="22"/>
      <c r="AR15" s="22"/>
      <c r="AS15" s="22"/>
      <c r="AT15" s="22"/>
      <c r="AU15" s="22"/>
      <c r="AV15" s="22"/>
      <c r="AW15" s="22"/>
    </row>
    <row r="17" spans="1:49" ht="12" x14ac:dyDescent="0.2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8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/>
      <c r="AM17"/>
      <c r="AN17"/>
      <c r="AO17"/>
      <c r="AP17"/>
      <c r="AQ17"/>
      <c r="AR17"/>
      <c r="AS17"/>
      <c r="AT17"/>
      <c r="AU17"/>
      <c r="AV17"/>
      <c r="AW17" s="20" t="s">
        <v>7</v>
      </c>
    </row>
    <row r="18" spans="1:49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3"/>
    </row>
    <row r="19" spans="1:49" ht="12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3"/>
      <c r="AD19" s="3"/>
      <c r="AE19" s="3"/>
      <c r="AF19" s="3"/>
      <c r="AG19" s="3"/>
      <c r="AH19" s="3"/>
      <c r="AI19" s="3"/>
      <c r="AJ19" s="3"/>
      <c r="AK19" s="3"/>
      <c r="AS19" s="16" t="s">
        <v>8</v>
      </c>
    </row>
    <row r="20" spans="1:49" ht="25.35" customHeight="1" x14ac:dyDescent="0.2">
      <c r="A20" s="24" t="s">
        <v>9</v>
      </c>
      <c r="B20" s="24"/>
      <c r="C20" s="24"/>
      <c r="D20" s="24"/>
      <c r="E20" s="25" t="s">
        <v>10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7"/>
      <c r="AL20" s="7"/>
      <c r="AM20" s="7"/>
      <c r="AN20" s="7"/>
      <c r="AO20" s="7"/>
      <c r="AP20" s="17"/>
      <c r="AQ20" s="26" t="s">
        <v>11</v>
      </c>
      <c r="AR20" s="26"/>
      <c r="AS20" s="26"/>
      <c r="AT20" s="26"/>
      <c r="AU20" s="26"/>
      <c r="AV20" s="26"/>
      <c r="AW20" s="26"/>
    </row>
    <row r="21" spans="1:49" x14ac:dyDescent="0.2">
      <c r="A21" s="5"/>
      <c r="B21" s="5"/>
      <c r="C21" s="5"/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ht="24.75" customHeight="1" x14ac:dyDescent="0.2">
      <c r="A22" s="28" t="s">
        <v>12</v>
      </c>
      <c r="B22" s="28"/>
      <c r="C22" s="28"/>
      <c r="D22" s="28"/>
      <c r="E22" s="25" t="s">
        <v>13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5"/>
      <c r="AL22" s="5"/>
      <c r="AM22" s="5"/>
      <c r="AN22" s="5"/>
      <c r="AO22" s="5"/>
      <c r="AP22" s="5"/>
      <c r="AQ22" s="29">
        <v>720128450445</v>
      </c>
      <c r="AR22" s="29"/>
      <c r="AS22" s="29"/>
      <c r="AT22" s="29"/>
      <c r="AU22" s="29"/>
      <c r="AV22" s="29"/>
      <c r="AW22" s="29"/>
    </row>
    <row r="23" spans="1:49" x14ac:dyDescent="0.2">
      <c r="A23" s="5"/>
      <c r="B23" s="5"/>
      <c r="C23" s="5"/>
      <c r="D23" s="5"/>
      <c r="E23" s="27" t="s">
        <v>14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">
      <c r="A24" s="30" t="s">
        <v>15</v>
      </c>
      <c r="B24" s="30"/>
      <c r="C24" s="30"/>
      <c r="D24" s="30"/>
      <c r="E24" s="30"/>
      <c r="F24" s="31" t="s">
        <v>16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7"/>
      <c r="AE24" s="7"/>
      <c r="AF24" s="7"/>
      <c r="AG24" s="7"/>
      <c r="AH24" s="64" t="s">
        <v>17</v>
      </c>
      <c r="AI24" s="64"/>
      <c r="AJ24" s="64"/>
      <c r="AK24" s="64"/>
      <c r="AL24" s="64"/>
      <c r="AM24" s="64" t="s">
        <v>18</v>
      </c>
      <c r="AN24" s="64"/>
      <c r="AO24" s="64"/>
      <c r="AP24" s="64"/>
      <c r="AQ24" s="11"/>
      <c r="AR24" s="11"/>
      <c r="AS24" s="11"/>
      <c r="AT24" s="11"/>
      <c r="AU24" s="11"/>
      <c r="AV24" s="11"/>
      <c r="AW24" s="11"/>
    </row>
    <row r="25" spans="1:49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64"/>
      <c r="AI25" s="64"/>
      <c r="AJ25" s="64"/>
      <c r="AK25" s="64"/>
      <c r="AL25" s="64"/>
      <c r="AM25" s="64"/>
      <c r="AN25" s="64"/>
      <c r="AO25" s="64"/>
      <c r="AP25" s="64"/>
      <c r="AQ25" s="18"/>
      <c r="AR25" s="18"/>
      <c r="AS25" s="18"/>
      <c r="AT25" s="18"/>
      <c r="AU25" s="18"/>
      <c r="AV25" s="18"/>
      <c r="AW25" s="18"/>
    </row>
    <row r="26" spans="1:49" ht="12.75" x14ac:dyDescent="0.2">
      <c r="A26" s="32" t="s">
        <v>19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3" t="s">
        <v>20</v>
      </c>
      <c r="AI26" s="33"/>
      <c r="AJ26" s="33"/>
      <c r="AK26" s="33"/>
      <c r="AL26" s="33"/>
      <c r="AM26" s="34" t="s">
        <v>21</v>
      </c>
      <c r="AN26" s="35"/>
      <c r="AO26" s="35"/>
      <c r="AP26" s="35"/>
      <c r="AQ26" s="19"/>
      <c r="AR26" s="19"/>
      <c r="AS26" s="19"/>
      <c r="AT26" s="19"/>
      <c r="AU26" s="19"/>
      <c r="AV26" s="19"/>
      <c r="AW26" s="19"/>
    </row>
    <row r="27" spans="1:49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">
      <c r="A28" s="36" t="s">
        <v>22</v>
      </c>
      <c r="B28" s="36"/>
      <c r="C28" s="36" t="s">
        <v>23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 t="s">
        <v>24</v>
      </c>
      <c r="Q28" s="36"/>
      <c r="R28" s="36"/>
      <c r="S28" s="36"/>
      <c r="T28" s="36"/>
      <c r="U28" s="36" t="s">
        <v>25</v>
      </c>
      <c r="V28" s="36"/>
      <c r="W28" s="36"/>
      <c r="X28" s="36"/>
      <c r="Y28" s="36"/>
      <c r="Z28" s="36"/>
      <c r="AA28" s="36"/>
      <c r="AB28" s="36"/>
      <c r="AC28" s="36"/>
      <c r="AD28" s="36" t="s">
        <v>26</v>
      </c>
      <c r="AE28" s="36"/>
      <c r="AF28" s="36"/>
      <c r="AG28" s="36" t="s">
        <v>27</v>
      </c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</row>
    <row r="29" spans="1:49" ht="46.5" customHeight="1" x14ac:dyDescent="0.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 t="s">
        <v>28</v>
      </c>
      <c r="AH29" s="36"/>
      <c r="AI29" s="36"/>
      <c r="AJ29" s="36"/>
      <c r="AK29" s="36"/>
      <c r="AL29" s="37" t="s">
        <v>29</v>
      </c>
      <c r="AM29" s="37"/>
      <c r="AN29" s="37"/>
      <c r="AO29" s="37"/>
      <c r="AP29" s="37"/>
      <c r="AQ29" s="37"/>
      <c r="AR29" s="36" t="s">
        <v>30</v>
      </c>
      <c r="AS29" s="36"/>
      <c r="AT29" s="36"/>
      <c r="AU29" s="36"/>
      <c r="AV29" s="36"/>
      <c r="AW29" s="36"/>
    </row>
    <row r="30" spans="1:49" x14ac:dyDescent="0.2">
      <c r="A30" s="38">
        <v>1</v>
      </c>
      <c r="B30" s="38"/>
      <c r="C30" s="38">
        <v>2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>
        <v>3</v>
      </c>
      <c r="Q30" s="38"/>
      <c r="R30" s="38"/>
      <c r="S30" s="38"/>
      <c r="T30" s="38"/>
      <c r="U30" s="38">
        <v>4</v>
      </c>
      <c r="V30" s="38"/>
      <c r="W30" s="38"/>
      <c r="X30" s="38"/>
      <c r="Y30" s="38"/>
      <c r="Z30" s="38"/>
      <c r="AA30" s="38"/>
      <c r="AB30" s="38"/>
      <c r="AC30" s="38"/>
      <c r="AD30" s="38">
        <v>1</v>
      </c>
      <c r="AE30" s="38"/>
      <c r="AF30" s="38"/>
      <c r="AG30" s="38">
        <v>6</v>
      </c>
      <c r="AH30" s="38"/>
      <c r="AI30" s="38"/>
      <c r="AJ30" s="38"/>
      <c r="AK30" s="38"/>
      <c r="AL30" s="39">
        <v>7</v>
      </c>
      <c r="AM30" s="39"/>
      <c r="AN30" s="39"/>
      <c r="AO30" s="39"/>
      <c r="AP30" s="39"/>
      <c r="AQ30" s="39"/>
      <c r="AR30" s="38">
        <v>8</v>
      </c>
      <c r="AS30" s="38"/>
      <c r="AT30" s="38"/>
      <c r="AU30" s="38"/>
      <c r="AV30" s="38"/>
      <c r="AW30" s="38"/>
    </row>
    <row r="31" spans="1:49" ht="13.35" customHeight="1" x14ac:dyDescent="0.2">
      <c r="A31" s="38"/>
      <c r="B31" s="38"/>
      <c r="C31" s="40" t="s">
        <v>31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2"/>
      <c r="P31" s="38" t="s">
        <v>32</v>
      </c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 t="s">
        <v>33</v>
      </c>
      <c r="AE31" s="38"/>
      <c r="AF31" s="38"/>
      <c r="AG31" s="38">
        <v>6</v>
      </c>
      <c r="AH31" s="38"/>
      <c r="AI31" s="38"/>
      <c r="AJ31" s="38"/>
      <c r="AK31" s="38"/>
      <c r="AL31" s="43">
        <v>15000</v>
      </c>
      <c r="AM31" s="43"/>
      <c r="AN31" s="43"/>
      <c r="AO31" s="43"/>
      <c r="AP31" s="43"/>
      <c r="AQ31" s="43"/>
      <c r="AR31" s="44">
        <f>AG31*AL31</f>
        <v>90000</v>
      </c>
      <c r="AS31" s="44"/>
      <c r="AT31" s="44"/>
      <c r="AU31" s="44"/>
      <c r="AV31" s="44"/>
      <c r="AW31" s="44"/>
    </row>
    <row r="32" spans="1:49" ht="11.4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12" t="s">
        <v>34</v>
      </c>
      <c r="AG32" s="38">
        <v>6</v>
      </c>
      <c r="AH32" s="38"/>
      <c r="AI32" s="38"/>
      <c r="AJ32" s="38"/>
      <c r="AK32" s="38"/>
      <c r="AL32" s="45"/>
      <c r="AM32" s="46"/>
      <c r="AN32" s="46"/>
      <c r="AO32" s="46"/>
      <c r="AP32" s="46"/>
      <c r="AQ32" s="46"/>
      <c r="AR32" s="44">
        <f>SUM(AR31)</f>
        <v>90000</v>
      </c>
      <c r="AS32" s="44"/>
      <c r="AT32" s="44"/>
      <c r="AU32" s="44"/>
      <c r="AV32" s="44"/>
      <c r="AW32" s="44"/>
    </row>
    <row r="33" spans="1:49" ht="7.7" hidden="1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9"/>
      <c r="O33" s="7"/>
      <c r="P33" s="7"/>
      <c r="Q33" s="7"/>
      <c r="R33" s="7"/>
      <c r="S33" s="7"/>
      <c r="T33" s="7"/>
      <c r="U33" s="7"/>
      <c r="V33" s="7"/>
      <c r="W33" s="11"/>
      <c r="X33" s="7"/>
      <c r="Y33" s="7"/>
      <c r="Z33" s="7"/>
      <c r="AA33" s="7"/>
      <c r="AB33" s="7"/>
      <c r="AC33" s="7"/>
      <c r="AD33" s="7"/>
      <c r="AE33" s="9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</row>
    <row r="34" spans="1:49" ht="4.3499999999999996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7"/>
      <c r="O34" s="7"/>
      <c r="P34" s="7"/>
      <c r="Q34" s="10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</row>
    <row r="35" spans="1:49" x14ac:dyDescent="0.2">
      <c r="A35" s="5" t="s">
        <v>35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7"/>
      <c r="O35" s="7"/>
      <c r="P35" s="7"/>
      <c r="Q35" s="47" t="s">
        <v>36</v>
      </c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</row>
    <row r="36" spans="1:49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27" t="s">
        <v>37</v>
      </c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</row>
    <row r="37" spans="1:49" x14ac:dyDescent="0.2">
      <c r="A37" s="7"/>
      <c r="B37" s="7"/>
      <c r="C37" s="7"/>
      <c r="D37" s="7"/>
      <c r="E37" s="7"/>
      <c r="F37" s="7"/>
      <c r="G37" s="7"/>
      <c r="H37" s="7"/>
      <c r="I37" s="7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 spans="1:49" x14ac:dyDescent="0.2">
      <c r="A38" s="5" t="s">
        <v>38</v>
      </c>
      <c r="B38" s="7"/>
      <c r="C38" s="7"/>
      <c r="D38" s="7"/>
      <c r="E38" s="7"/>
      <c r="F38" s="7"/>
      <c r="G38" s="7"/>
      <c r="H38" s="7"/>
      <c r="I38" s="7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</row>
    <row r="39" spans="1:49" x14ac:dyDescent="0.2">
      <c r="A39" s="7"/>
      <c r="B39" s="7"/>
      <c r="C39" s="7"/>
      <c r="D39" s="5" t="s">
        <v>39</v>
      </c>
      <c r="E39" s="7"/>
      <c r="F39" s="7"/>
      <c r="G39" s="7"/>
      <c r="H39" s="7"/>
      <c r="I39" s="7"/>
      <c r="J39" s="10"/>
      <c r="K39" s="10"/>
      <c r="L39" s="10"/>
      <c r="M39" s="10"/>
      <c r="N39" s="10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</row>
    <row r="40" spans="1:49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ht="1.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">
      <c r="A42" s="5" t="s">
        <v>40</v>
      </c>
      <c r="B42" s="7"/>
      <c r="C42" s="7"/>
      <c r="D42" s="7"/>
      <c r="E42" s="7"/>
      <c r="F42" s="7"/>
      <c r="G42" s="7"/>
      <c r="H42" s="7"/>
      <c r="I42" s="7"/>
      <c r="J42" s="7"/>
      <c r="K42" s="11" t="s">
        <v>41</v>
      </c>
      <c r="L42" s="7"/>
      <c r="M42" s="7"/>
      <c r="N42" s="7"/>
      <c r="O42" s="7"/>
      <c r="P42" s="7"/>
      <c r="Q42" s="11" t="s">
        <v>41</v>
      </c>
      <c r="R42" s="7"/>
      <c r="S42" s="7"/>
      <c r="T42" s="7"/>
      <c r="U42" s="7"/>
      <c r="V42" s="7"/>
      <c r="W42" s="7"/>
      <c r="X42" s="7"/>
      <c r="Y42" s="7"/>
      <c r="Z42" s="7"/>
      <c r="AA42" s="5" t="s">
        <v>42</v>
      </c>
      <c r="AB42" s="7"/>
      <c r="AC42" s="7"/>
      <c r="AD42" s="7"/>
      <c r="AE42" s="7"/>
      <c r="AF42" s="7"/>
      <c r="AG42" s="7"/>
      <c r="AH42" s="7"/>
      <c r="AI42" s="7"/>
      <c r="AJ42" s="7"/>
      <c r="AK42" s="11" t="s">
        <v>41</v>
      </c>
      <c r="AL42" s="7"/>
      <c r="AM42" s="7"/>
      <c r="AN42" s="7"/>
      <c r="AO42" s="7"/>
      <c r="AP42" s="7"/>
      <c r="AQ42" s="11" t="s">
        <v>41</v>
      </c>
      <c r="AR42" s="7"/>
      <c r="AS42" s="7"/>
      <c r="AT42" s="7"/>
      <c r="AU42" s="7"/>
      <c r="AV42" s="7"/>
      <c r="AW42" s="7"/>
    </row>
    <row r="43" spans="1:49" x14ac:dyDescent="0.2">
      <c r="A43" s="5"/>
      <c r="B43" s="5"/>
      <c r="C43" s="5"/>
      <c r="D43" s="5"/>
      <c r="E43" s="5"/>
      <c r="F43" s="48" t="s">
        <v>43</v>
      </c>
      <c r="G43" s="48"/>
      <c r="H43" s="48"/>
      <c r="I43" s="48"/>
      <c r="J43" s="48"/>
      <c r="K43" s="5"/>
      <c r="L43" s="48" t="s">
        <v>44</v>
      </c>
      <c r="M43" s="48"/>
      <c r="N43" s="48"/>
      <c r="O43" s="48"/>
      <c r="P43" s="48"/>
      <c r="Q43" s="5"/>
      <c r="R43" s="48" t="s">
        <v>45</v>
      </c>
      <c r="S43" s="48"/>
      <c r="T43" s="48"/>
      <c r="U43" s="48"/>
      <c r="V43" s="48"/>
      <c r="W43" s="48"/>
      <c r="X43" s="48"/>
      <c r="Y43" s="5"/>
      <c r="Z43" s="5"/>
      <c r="AA43" s="5"/>
      <c r="AB43" s="5"/>
      <c r="AC43" s="5"/>
      <c r="AD43" s="5"/>
      <c r="AE43" s="5"/>
      <c r="AF43" s="48" t="s">
        <v>43</v>
      </c>
      <c r="AG43" s="48"/>
      <c r="AH43" s="48"/>
      <c r="AI43" s="48"/>
      <c r="AJ43" s="48"/>
      <c r="AK43" s="5"/>
      <c r="AL43" s="48" t="s">
        <v>44</v>
      </c>
      <c r="AM43" s="48"/>
      <c r="AN43" s="48"/>
      <c r="AO43" s="48"/>
      <c r="AP43" s="48"/>
      <c r="AQ43" s="5"/>
      <c r="AR43" s="48" t="s">
        <v>45</v>
      </c>
      <c r="AS43" s="48"/>
      <c r="AT43" s="48"/>
      <c r="AU43" s="48"/>
      <c r="AV43" s="48"/>
      <c r="AW43" s="48"/>
    </row>
    <row r="44" spans="1:49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">
      <c r="A45" s="5"/>
      <c r="B45" s="6" t="s">
        <v>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13" t="s">
        <v>47</v>
      </c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49"/>
      <c r="AM45" s="50"/>
      <c r="AN45" s="50"/>
      <c r="AO45" s="50"/>
      <c r="AP45" s="50"/>
      <c r="AQ45" s="50"/>
      <c r="AR45" s="5"/>
      <c r="AS45" s="5"/>
      <c r="AT45" s="5"/>
      <c r="AU45" s="5"/>
      <c r="AV45" s="5"/>
      <c r="AW45" s="5"/>
    </row>
    <row r="46" spans="1:49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5"/>
      <c r="AS46" s="5"/>
      <c r="AT46" s="5"/>
      <c r="AU46" s="5"/>
      <c r="AV46" s="5"/>
      <c r="AW46" s="5"/>
    </row>
    <row r="47" spans="1:49" x14ac:dyDescent="0.2">
      <c r="Z47" s="3"/>
      <c r="AB47" s="14" t="s">
        <v>46</v>
      </c>
    </row>
    <row r="53" spans="1:49" x14ac:dyDescent="0.2">
      <c r="AQ53" s="15" t="s">
        <v>0</v>
      </c>
    </row>
    <row r="54" spans="1:49" x14ac:dyDescent="0.2">
      <c r="AO54" s="15" t="s">
        <v>1</v>
      </c>
    </row>
    <row r="55" spans="1:49" x14ac:dyDescent="0.2">
      <c r="AP55" s="15" t="s">
        <v>2</v>
      </c>
    </row>
    <row r="56" spans="1:49" x14ac:dyDescent="0.2">
      <c r="AN56" s="15" t="s">
        <v>3</v>
      </c>
      <c r="AO56" s="15" t="s">
        <v>4</v>
      </c>
    </row>
    <row r="58" spans="1:49" x14ac:dyDescent="0.2">
      <c r="AN58" s="22" t="s">
        <v>5</v>
      </c>
      <c r="AO58" s="22"/>
      <c r="AP58" s="22"/>
      <c r="AQ58" s="22"/>
      <c r="AR58" s="22"/>
      <c r="AS58" s="22"/>
      <c r="AT58" s="22"/>
      <c r="AU58" s="22"/>
      <c r="AV58" s="22"/>
      <c r="AW58" s="22"/>
    </row>
    <row r="59" spans="1:49" x14ac:dyDescent="0.2">
      <c r="AN59" s="22" t="s">
        <v>1</v>
      </c>
      <c r="AO59" s="22"/>
      <c r="AP59" s="22"/>
      <c r="AQ59" s="22"/>
      <c r="AR59" s="22"/>
      <c r="AS59" s="22"/>
      <c r="AT59" s="22"/>
      <c r="AU59" s="22"/>
      <c r="AV59" s="22"/>
      <c r="AW59" s="22"/>
    </row>
    <row r="60" spans="1:49" x14ac:dyDescent="0.2">
      <c r="AN60" s="22" t="s">
        <v>2</v>
      </c>
      <c r="AO60" s="22"/>
      <c r="AP60" s="22"/>
      <c r="AQ60" s="22"/>
      <c r="AR60" s="22"/>
      <c r="AS60" s="22"/>
      <c r="AT60" s="22"/>
      <c r="AU60" s="22"/>
      <c r="AV60" s="22"/>
      <c r="AW60" s="22"/>
    </row>
    <row r="61" spans="1:49" x14ac:dyDescent="0.2">
      <c r="AN61" s="22" t="s">
        <v>6</v>
      </c>
      <c r="AO61" s="22"/>
      <c r="AP61" s="22"/>
      <c r="AQ61" s="22"/>
      <c r="AR61" s="22"/>
      <c r="AS61" s="22"/>
      <c r="AT61" s="22"/>
      <c r="AU61" s="22"/>
      <c r="AV61" s="22"/>
      <c r="AW61" s="22"/>
    </row>
    <row r="63" spans="1:49" ht="12" x14ac:dyDescent="0.2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8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/>
      <c r="AM63"/>
      <c r="AN63"/>
      <c r="AO63"/>
      <c r="AP63"/>
      <c r="AQ63"/>
      <c r="AR63"/>
      <c r="AS63"/>
      <c r="AT63"/>
      <c r="AU63"/>
      <c r="AV63"/>
      <c r="AW63" s="20" t="s">
        <v>7</v>
      </c>
    </row>
    <row r="64" spans="1:49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3"/>
    </row>
    <row r="65" spans="1:49" ht="12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3"/>
      <c r="AD65" s="3"/>
      <c r="AE65" s="3"/>
      <c r="AF65" s="3"/>
      <c r="AG65" s="3"/>
      <c r="AH65" s="3"/>
      <c r="AI65" s="3"/>
      <c r="AJ65" s="3"/>
      <c r="AK65" s="3"/>
      <c r="AS65" s="16" t="s">
        <v>8</v>
      </c>
    </row>
    <row r="66" spans="1:49" ht="23.45" customHeight="1" x14ac:dyDescent="0.2">
      <c r="A66" s="51" t="s">
        <v>9</v>
      </c>
      <c r="B66" s="51"/>
      <c r="C66" s="51"/>
      <c r="D66" s="51"/>
      <c r="E66" s="52" t="s">
        <v>48</v>
      </c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7"/>
      <c r="AL66" s="7"/>
      <c r="AM66" s="7"/>
      <c r="AN66" s="7"/>
      <c r="AO66" s="7"/>
      <c r="AP66" s="17"/>
      <c r="AQ66" s="26" t="s">
        <v>49</v>
      </c>
      <c r="AR66" s="26"/>
      <c r="AS66" s="26"/>
      <c r="AT66" s="26"/>
      <c r="AU66" s="26"/>
      <c r="AV66" s="26"/>
      <c r="AW66" s="26"/>
    </row>
    <row r="67" spans="1:49" ht="3.6" customHeight="1" x14ac:dyDescent="0.2">
      <c r="A67" s="5"/>
      <c r="B67" s="5"/>
      <c r="C67" s="5"/>
      <c r="D67" s="5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ht="23.1" customHeight="1" x14ac:dyDescent="0.2">
      <c r="A68" s="53" t="s">
        <v>12</v>
      </c>
      <c r="B68" s="53"/>
      <c r="C68" s="53"/>
      <c r="D68" s="53"/>
      <c r="E68" s="54" t="s">
        <v>50</v>
      </c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"/>
      <c r="AL68" s="5"/>
      <c r="AM68" s="5"/>
      <c r="AN68" s="5"/>
      <c r="AO68" s="5"/>
      <c r="AP68" s="5"/>
      <c r="AQ68" s="29">
        <v>61222552016</v>
      </c>
      <c r="AR68" s="29"/>
      <c r="AS68" s="29"/>
      <c r="AT68" s="29"/>
      <c r="AU68" s="29"/>
      <c r="AV68" s="29"/>
      <c r="AW68" s="29"/>
    </row>
    <row r="69" spans="1:49" x14ac:dyDescent="0.2">
      <c r="A69" s="5"/>
      <c r="B69" s="5"/>
      <c r="C69" s="5"/>
      <c r="D69" s="5"/>
      <c r="E69" s="27" t="s">
        <v>14</v>
      </c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">
      <c r="A70" s="30" t="s">
        <v>15</v>
      </c>
      <c r="B70" s="30"/>
      <c r="C70" s="30"/>
      <c r="D70" s="30"/>
      <c r="E70" s="30"/>
      <c r="F70" s="55" t="s">
        <v>51</v>
      </c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7"/>
      <c r="AE70" s="7"/>
      <c r="AF70" s="7"/>
      <c r="AG70" s="7"/>
      <c r="AH70" s="64" t="s">
        <v>17</v>
      </c>
      <c r="AI70" s="64"/>
      <c r="AJ70" s="64"/>
      <c r="AK70" s="64"/>
      <c r="AL70" s="64"/>
      <c r="AM70" s="64" t="s">
        <v>18</v>
      </c>
      <c r="AN70" s="64"/>
      <c r="AO70" s="64"/>
      <c r="AP70" s="64"/>
      <c r="AQ70" s="11"/>
      <c r="AR70" s="11"/>
      <c r="AS70" s="11"/>
      <c r="AT70" s="11"/>
      <c r="AU70" s="11"/>
      <c r="AV70" s="11"/>
      <c r="AW70" s="11"/>
    </row>
    <row r="71" spans="1:49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64"/>
      <c r="AI71" s="64"/>
      <c r="AJ71" s="64"/>
      <c r="AK71" s="64"/>
      <c r="AL71" s="64"/>
      <c r="AM71" s="64"/>
      <c r="AN71" s="64"/>
      <c r="AO71" s="64"/>
      <c r="AP71" s="64"/>
      <c r="AQ71" s="18"/>
      <c r="AR71" s="18"/>
      <c r="AS71" s="18"/>
      <c r="AT71" s="18"/>
      <c r="AU71" s="18"/>
      <c r="AV71" s="18"/>
      <c r="AW71" s="18"/>
    </row>
    <row r="72" spans="1:49" ht="12.75" x14ac:dyDescent="0.2">
      <c r="A72" s="32" t="s">
        <v>19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56" t="s">
        <v>52</v>
      </c>
      <c r="AI72" s="33"/>
      <c r="AJ72" s="33"/>
      <c r="AK72" s="33"/>
      <c r="AL72" s="33"/>
      <c r="AM72" s="34" t="s">
        <v>53</v>
      </c>
      <c r="AN72" s="35"/>
      <c r="AO72" s="35"/>
      <c r="AP72" s="35"/>
      <c r="AQ72" s="19"/>
      <c r="AR72" s="19"/>
      <c r="AS72" s="19"/>
      <c r="AT72" s="19"/>
      <c r="AU72" s="19"/>
      <c r="AV72" s="19"/>
      <c r="AW72" s="19"/>
    </row>
    <row r="73" spans="1:49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">
      <c r="A74" s="36" t="s">
        <v>22</v>
      </c>
      <c r="B74" s="36"/>
      <c r="C74" s="36" t="s">
        <v>23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 t="s">
        <v>24</v>
      </c>
      <c r="Q74" s="36"/>
      <c r="R74" s="36"/>
      <c r="S74" s="36"/>
      <c r="T74" s="36"/>
      <c r="U74" s="36" t="s">
        <v>25</v>
      </c>
      <c r="V74" s="36"/>
      <c r="W74" s="36"/>
      <c r="X74" s="36"/>
      <c r="Y74" s="36"/>
      <c r="Z74" s="36"/>
      <c r="AA74" s="36"/>
      <c r="AB74" s="36"/>
      <c r="AC74" s="36"/>
      <c r="AD74" s="36" t="s">
        <v>26</v>
      </c>
      <c r="AE74" s="36"/>
      <c r="AF74" s="36"/>
      <c r="AG74" s="36" t="s">
        <v>27</v>
      </c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</row>
    <row r="75" spans="1:49" ht="44.45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 t="s">
        <v>28</v>
      </c>
      <c r="AH75" s="36"/>
      <c r="AI75" s="36"/>
      <c r="AJ75" s="36"/>
      <c r="AK75" s="36"/>
      <c r="AL75" s="37" t="s">
        <v>29</v>
      </c>
      <c r="AM75" s="37"/>
      <c r="AN75" s="37"/>
      <c r="AO75" s="37"/>
      <c r="AP75" s="37"/>
      <c r="AQ75" s="37"/>
      <c r="AR75" s="36" t="s">
        <v>30</v>
      </c>
      <c r="AS75" s="36"/>
      <c r="AT75" s="36"/>
      <c r="AU75" s="36"/>
      <c r="AV75" s="36"/>
      <c r="AW75" s="36"/>
    </row>
    <row r="76" spans="1:49" x14ac:dyDescent="0.2">
      <c r="A76" s="38">
        <v>1</v>
      </c>
      <c r="B76" s="38"/>
      <c r="C76" s="38">
        <v>2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>
        <v>3</v>
      </c>
      <c r="Q76" s="38"/>
      <c r="R76" s="38"/>
      <c r="S76" s="38"/>
      <c r="T76" s="38"/>
      <c r="U76" s="38">
        <v>4</v>
      </c>
      <c r="V76" s="38"/>
      <c r="W76" s="38"/>
      <c r="X76" s="38"/>
      <c r="Y76" s="38"/>
      <c r="Z76" s="38"/>
      <c r="AA76" s="38"/>
      <c r="AB76" s="38"/>
      <c r="AC76" s="38"/>
      <c r="AD76" s="38">
        <v>1</v>
      </c>
      <c r="AE76" s="38"/>
      <c r="AF76" s="38"/>
      <c r="AG76" s="38">
        <v>6</v>
      </c>
      <c r="AH76" s="38"/>
      <c r="AI76" s="38"/>
      <c r="AJ76" s="38"/>
      <c r="AK76" s="38"/>
      <c r="AL76" s="39">
        <v>7</v>
      </c>
      <c r="AM76" s="39"/>
      <c r="AN76" s="39"/>
      <c r="AO76" s="39"/>
      <c r="AP76" s="39"/>
      <c r="AQ76" s="39"/>
      <c r="AR76" s="38">
        <v>8</v>
      </c>
      <c r="AS76" s="38"/>
      <c r="AT76" s="38"/>
      <c r="AU76" s="38"/>
      <c r="AV76" s="38"/>
      <c r="AW76" s="38"/>
    </row>
    <row r="77" spans="1:49" ht="27.95" customHeight="1" x14ac:dyDescent="0.2">
      <c r="A77" s="38"/>
      <c r="B77" s="38"/>
      <c r="C77" s="57" t="s">
        <v>54</v>
      </c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9"/>
      <c r="P77" s="60" t="s">
        <v>55</v>
      </c>
      <c r="Q77" s="60"/>
      <c r="R77" s="60"/>
      <c r="S77" s="60"/>
      <c r="T77" s="60"/>
      <c r="U77" s="38"/>
      <c r="V77" s="38"/>
      <c r="W77" s="38"/>
      <c r="X77" s="38"/>
      <c r="Y77" s="38"/>
      <c r="Z77" s="38"/>
      <c r="AA77" s="38"/>
      <c r="AB77" s="38"/>
      <c r="AC77" s="38"/>
      <c r="AD77" s="60" t="s">
        <v>33</v>
      </c>
      <c r="AE77" s="60"/>
      <c r="AF77" s="60"/>
      <c r="AG77" s="60">
        <v>2</v>
      </c>
      <c r="AH77" s="60"/>
      <c r="AI77" s="60"/>
      <c r="AJ77" s="60"/>
      <c r="AK77" s="60"/>
      <c r="AL77" s="61">
        <v>20000</v>
      </c>
      <c r="AM77" s="61"/>
      <c r="AN77" s="61"/>
      <c r="AO77" s="61"/>
      <c r="AP77" s="61"/>
      <c r="AQ77" s="61"/>
      <c r="AR77" s="62">
        <f>AG77*AL77</f>
        <v>40000</v>
      </c>
      <c r="AS77" s="62"/>
      <c r="AT77" s="62"/>
      <c r="AU77" s="62"/>
      <c r="AV77" s="62"/>
      <c r="AW77" s="62"/>
    </row>
    <row r="78" spans="1:49" ht="12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12" t="s">
        <v>34</v>
      </c>
      <c r="AG78" s="38">
        <v>2</v>
      </c>
      <c r="AH78" s="38"/>
      <c r="AI78" s="38"/>
      <c r="AJ78" s="38"/>
      <c r="AK78" s="38"/>
      <c r="AL78" s="45" t="s">
        <v>56</v>
      </c>
      <c r="AM78" s="46"/>
      <c r="AN78" s="46"/>
      <c r="AO78" s="46"/>
      <c r="AP78" s="46"/>
      <c r="AQ78" s="46"/>
      <c r="AR78" s="44">
        <f>SUM(AR77)</f>
        <v>40000</v>
      </c>
      <c r="AS78" s="44"/>
      <c r="AT78" s="44"/>
      <c r="AU78" s="44"/>
      <c r="AV78" s="44"/>
      <c r="AW78" s="44"/>
    </row>
    <row r="79" spans="1:49" ht="3.6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9"/>
      <c r="O79" s="7"/>
      <c r="P79" s="7"/>
      <c r="Q79" s="7"/>
      <c r="R79" s="7"/>
      <c r="S79" s="7"/>
      <c r="T79" s="7"/>
      <c r="U79" s="7"/>
      <c r="V79" s="7"/>
      <c r="W79" s="11"/>
      <c r="X79" s="7"/>
      <c r="Y79" s="7"/>
      <c r="Z79" s="7"/>
      <c r="AA79" s="7"/>
      <c r="AB79" s="7"/>
      <c r="AC79" s="7"/>
      <c r="AD79" s="7"/>
      <c r="AE79" s="9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</row>
    <row r="80" spans="1:49" hidden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7"/>
      <c r="O80" s="7"/>
      <c r="P80" s="7"/>
      <c r="Q80" s="10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</row>
    <row r="81" spans="1:49" x14ac:dyDescent="0.2">
      <c r="A81" s="5" t="s">
        <v>35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7"/>
      <c r="O81" s="7"/>
      <c r="P81" s="7"/>
      <c r="Q81" s="63" t="s">
        <v>57</v>
      </c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</row>
    <row r="82" spans="1:49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27" t="s">
        <v>37</v>
      </c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</row>
    <row r="83" spans="1:49" ht="6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</row>
    <row r="84" spans="1:49" x14ac:dyDescent="0.2">
      <c r="A84" s="5" t="s">
        <v>38</v>
      </c>
      <c r="B84" s="7"/>
      <c r="C84" s="7"/>
      <c r="D84" s="7"/>
      <c r="E84" s="7"/>
      <c r="F84" s="7"/>
      <c r="G84" s="7"/>
      <c r="H84" s="7"/>
      <c r="I84" s="7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</row>
    <row r="85" spans="1:49" x14ac:dyDescent="0.2">
      <c r="A85" s="7"/>
      <c r="B85" s="7"/>
      <c r="C85" s="7"/>
      <c r="D85" s="5" t="s">
        <v>39</v>
      </c>
      <c r="E85" s="7"/>
      <c r="F85" s="7"/>
      <c r="G85" s="7"/>
      <c r="H85" s="7"/>
      <c r="I85" s="7"/>
      <c r="J85" s="10"/>
      <c r="K85" s="10"/>
      <c r="L85" s="10"/>
      <c r="M85" s="10"/>
      <c r="N85" s="10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</row>
    <row r="86" spans="1:49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ht="1.3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">
      <c r="A88" s="5" t="s">
        <v>40</v>
      </c>
      <c r="B88" s="7"/>
      <c r="C88" s="7"/>
      <c r="D88" s="7"/>
      <c r="E88" s="7"/>
      <c r="F88" s="21" t="s">
        <v>58</v>
      </c>
      <c r="G88" s="21" t="s">
        <v>59</v>
      </c>
      <c r="H88" s="21"/>
      <c r="I88" s="21"/>
      <c r="J88" s="7"/>
      <c r="K88" s="11" t="s">
        <v>41</v>
      </c>
      <c r="L88" s="7"/>
      <c r="M88" s="7"/>
      <c r="N88" s="7"/>
      <c r="O88" s="7"/>
      <c r="P88" s="7"/>
      <c r="Q88" s="11" t="s">
        <v>41</v>
      </c>
      <c r="R88" s="7"/>
      <c r="S88" s="7"/>
      <c r="T88" s="21" t="s">
        <v>60</v>
      </c>
      <c r="U88" s="7"/>
      <c r="V88" s="7"/>
      <c r="W88" s="7"/>
      <c r="X88" s="7"/>
      <c r="Y88" s="7"/>
      <c r="Z88" s="7"/>
      <c r="AA88" s="5" t="s">
        <v>42</v>
      </c>
      <c r="AB88" s="7"/>
      <c r="AC88" s="7"/>
      <c r="AD88" s="7"/>
      <c r="AE88" s="7"/>
      <c r="AF88" s="7"/>
      <c r="AG88" s="7"/>
      <c r="AH88" s="7"/>
      <c r="AI88" s="7"/>
      <c r="AJ88" s="7"/>
      <c r="AK88" s="11" t="s">
        <v>41</v>
      </c>
      <c r="AL88" s="7"/>
      <c r="AM88" s="7"/>
      <c r="AN88" s="7"/>
      <c r="AO88" s="7"/>
      <c r="AP88" s="7"/>
      <c r="AQ88" s="11" t="s">
        <v>41</v>
      </c>
      <c r="AR88" s="7"/>
      <c r="AS88" s="7"/>
      <c r="AT88" s="7"/>
      <c r="AU88" s="7"/>
      <c r="AV88" s="7"/>
      <c r="AW88" s="7"/>
    </row>
    <row r="89" spans="1:49" x14ac:dyDescent="0.2">
      <c r="A89" s="5"/>
      <c r="B89" s="5"/>
      <c r="C89" s="5"/>
      <c r="D89" s="5"/>
      <c r="E89" s="5"/>
      <c r="F89" s="48" t="s">
        <v>43</v>
      </c>
      <c r="G89" s="48"/>
      <c r="H89" s="48"/>
      <c r="I89" s="48"/>
      <c r="J89" s="48"/>
      <c r="K89" s="5"/>
      <c r="L89" s="48" t="s">
        <v>44</v>
      </c>
      <c r="M89" s="48"/>
      <c r="N89" s="48"/>
      <c r="O89" s="48"/>
      <c r="P89" s="48"/>
      <c r="Q89" s="5"/>
      <c r="R89" s="48" t="s">
        <v>45</v>
      </c>
      <c r="S89" s="48"/>
      <c r="T89" s="48"/>
      <c r="U89" s="48"/>
      <c r="V89" s="48"/>
      <c r="W89" s="48"/>
      <c r="X89" s="48"/>
      <c r="Y89" s="5"/>
      <c r="Z89" s="5"/>
      <c r="AA89" s="5"/>
      <c r="AB89" s="5"/>
      <c r="AC89" s="5"/>
      <c r="AD89" s="5"/>
      <c r="AE89" s="5"/>
      <c r="AF89" s="48" t="s">
        <v>43</v>
      </c>
      <c r="AG89" s="48"/>
      <c r="AH89" s="48"/>
      <c r="AI89" s="48"/>
      <c r="AJ89" s="48"/>
      <c r="AK89" s="5"/>
      <c r="AL89" s="48" t="s">
        <v>44</v>
      </c>
      <c r="AM89" s="48"/>
      <c r="AN89" s="48"/>
      <c r="AO89" s="48"/>
      <c r="AP89" s="48"/>
      <c r="AQ89" s="5"/>
      <c r="AR89" s="48" t="s">
        <v>45</v>
      </c>
      <c r="AS89" s="48"/>
      <c r="AT89" s="48"/>
      <c r="AU89" s="48"/>
      <c r="AV89" s="48"/>
      <c r="AW89" s="48"/>
    </row>
    <row r="90" spans="1:49" ht="3.6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">
      <c r="A91" s="5"/>
      <c r="B91" s="6" t="s">
        <v>46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13" t="s">
        <v>47</v>
      </c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49"/>
      <c r="AM91" s="50"/>
      <c r="AN91" s="50"/>
      <c r="AO91" s="50"/>
      <c r="AP91" s="50"/>
      <c r="AQ91" s="50"/>
      <c r="AR91" s="5"/>
      <c r="AS91" s="5"/>
      <c r="AT91" s="5"/>
      <c r="AU91" s="5"/>
      <c r="AV91" s="5"/>
      <c r="AW91" s="5"/>
    </row>
    <row r="92" spans="1:49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5"/>
      <c r="AS92" s="5"/>
      <c r="AT92" s="5"/>
      <c r="AU92" s="5"/>
      <c r="AV92" s="5"/>
      <c r="AW92" s="5"/>
    </row>
    <row r="93" spans="1:49" x14ac:dyDescent="0.2">
      <c r="Z93" s="3"/>
      <c r="AB93" s="14" t="s">
        <v>46</v>
      </c>
    </row>
  </sheetData>
  <mergeCells count="116">
    <mergeCell ref="AL91:AQ91"/>
    <mergeCell ref="U28:AC29"/>
    <mergeCell ref="AD28:AF29"/>
    <mergeCell ref="A74:B75"/>
    <mergeCell ref="C74:O75"/>
    <mergeCell ref="P74:T75"/>
    <mergeCell ref="U74:AC75"/>
    <mergeCell ref="AD74:AF75"/>
    <mergeCell ref="AH70:AL71"/>
    <mergeCell ref="AM70:AP71"/>
    <mergeCell ref="F89:J89"/>
    <mergeCell ref="L89:P89"/>
    <mergeCell ref="R89:X89"/>
    <mergeCell ref="AF89:AJ89"/>
    <mergeCell ref="AL89:AP89"/>
    <mergeCell ref="AR89:AW89"/>
    <mergeCell ref="AG78:AK78"/>
    <mergeCell ref="AL78:AQ78"/>
    <mergeCell ref="AR78:AW78"/>
    <mergeCell ref="Q81:AW81"/>
    <mergeCell ref="Q82:AW82"/>
    <mergeCell ref="O85:AW85"/>
    <mergeCell ref="AL76:AQ76"/>
    <mergeCell ref="AR76:AW76"/>
    <mergeCell ref="A77:B77"/>
    <mergeCell ref="C77:O77"/>
    <mergeCell ref="P77:T77"/>
    <mergeCell ref="U77:AC77"/>
    <mergeCell ref="AD77:AF77"/>
    <mergeCell ref="AG77:AK77"/>
    <mergeCell ref="AL77:AQ77"/>
    <mergeCell ref="AR77:AW77"/>
    <mergeCell ref="AG74:AW74"/>
    <mergeCell ref="AG75:AK75"/>
    <mergeCell ref="AL75:AQ75"/>
    <mergeCell ref="AR75:AW75"/>
    <mergeCell ref="A76:B76"/>
    <mergeCell ref="C76:O76"/>
    <mergeCell ref="P76:T76"/>
    <mergeCell ref="U76:AC76"/>
    <mergeCell ref="AD76:AF76"/>
    <mergeCell ref="AG76:AK76"/>
    <mergeCell ref="E69:AJ69"/>
    <mergeCell ref="A70:E70"/>
    <mergeCell ref="F70:AC70"/>
    <mergeCell ref="A72:AG72"/>
    <mergeCell ref="AH72:AL72"/>
    <mergeCell ref="AM72:AP72"/>
    <mergeCell ref="A66:D66"/>
    <mergeCell ref="E66:AJ66"/>
    <mergeCell ref="AQ66:AW66"/>
    <mergeCell ref="E67:AJ67"/>
    <mergeCell ref="A68:D68"/>
    <mergeCell ref="E68:AJ68"/>
    <mergeCell ref="AQ68:AW68"/>
    <mergeCell ref="AL45:AQ45"/>
    <mergeCell ref="AN58:AW58"/>
    <mergeCell ref="AN59:AW59"/>
    <mergeCell ref="AN60:AW60"/>
    <mergeCell ref="AN61:AW61"/>
    <mergeCell ref="A64:AJ64"/>
    <mergeCell ref="F43:J43"/>
    <mergeCell ref="L43:P43"/>
    <mergeCell ref="R43:X43"/>
    <mergeCell ref="AF43:AJ43"/>
    <mergeCell ref="AL43:AP43"/>
    <mergeCell ref="AR43:AW43"/>
    <mergeCell ref="AG32:AK32"/>
    <mergeCell ref="AL32:AQ32"/>
    <mergeCell ref="AR32:AW32"/>
    <mergeCell ref="Q35:AW35"/>
    <mergeCell ref="Q36:AW36"/>
    <mergeCell ref="O39:AW39"/>
    <mergeCell ref="AL30:AQ30"/>
    <mergeCell ref="AR30:AW30"/>
    <mergeCell ref="A31:B31"/>
    <mergeCell ref="C31:O31"/>
    <mergeCell ref="P31:T31"/>
    <mergeCell ref="U31:AC31"/>
    <mergeCell ref="AD31:AF31"/>
    <mergeCell ref="AG31:AK31"/>
    <mergeCell ref="AL31:AQ31"/>
    <mergeCell ref="AR31:AW31"/>
    <mergeCell ref="A30:B30"/>
    <mergeCell ref="C30:O30"/>
    <mergeCell ref="P30:T30"/>
    <mergeCell ref="U30:AC30"/>
    <mergeCell ref="AD30:AF30"/>
    <mergeCell ref="AG30:AK30"/>
    <mergeCell ref="A26:AG26"/>
    <mergeCell ref="AH26:AL26"/>
    <mergeCell ref="AM26:AP26"/>
    <mergeCell ref="AG28:AW28"/>
    <mergeCell ref="AG29:AK29"/>
    <mergeCell ref="AL29:AQ29"/>
    <mergeCell ref="AR29:AW29"/>
    <mergeCell ref="A28:B29"/>
    <mergeCell ref="C28:O29"/>
    <mergeCell ref="P28:T29"/>
    <mergeCell ref="E21:AJ21"/>
    <mergeCell ref="A22:D22"/>
    <mergeCell ref="E22:AJ22"/>
    <mergeCell ref="AQ22:AW22"/>
    <mergeCell ref="E23:AJ23"/>
    <mergeCell ref="A24:E24"/>
    <mergeCell ref="F24:AC24"/>
    <mergeCell ref="AH24:AL25"/>
    <mergeCell ref="AM24:AP25"/>
    <mergeCell ref="AN12:AW12"/>
    <mergeCell ref="AN13:AW13"/>
    <mergeCell ref="AN14:AW14"/>
    <mergeCell ref="AN15:AW15"/>
    <mergeCell ref="A18:AJ18"/>
    <mergeCell ref="A20:D20"/>
    <mergeCell ref="E20:AJ20"/>
    <mergeCell ref="AQ20:AW20"/>
  </mergeCells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 Картавцев</dc:creator>
  <cp:lastModifiedBy>app</cp:lastModifiedBy>
  <cp:revision>1</cp:revision>
  <cp:lastPrinted>2025-11-17T06:20:10Z</cp:lastPrinted>
  <dcterms:created xsi:type="dcterms:W3CDTF">2014-12-25T07:18:01Z</dcterms:created>
  <dcterms:modified xsi:type="dcterms:W3CDTF">2026-06-25T23:33:17Z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3AA64625DC0B485787FB213CE1B1E82B_12</vt:lpwstr>
  </property>
  <property fmtid="{D5CDD505-2E9C-101B-9397-08002B2CF9AE}" pid="3" name="KSOProductBuildVer">
    <vt:lpwstr>1049-12.2.0.23203</vt:lpwstr>
  </property>
</Properties>
</file>